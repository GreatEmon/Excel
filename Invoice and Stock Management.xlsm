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Daily Tracker\Daily Work File\Microsoft Excel\"/>
    </mc:Choice>
  </mc:AlternateContent>
  <bookViews>
    <workbookView xWindow="0" yWindow="0" windowWidth="28800" windowHeight="12990"/>
  </bookViews>
  <sheets>
    <sheet name="Invoice" sheetId="2" r:id="rId1"/>
    <sheet name="Purchase" sheetId="1" r:id="rId2"/>
    <sheet name="Sale" sheetId="3" r:id="rId3"/>
    <sheet name="Stock" sheetId="4" r:id="rId4"/>
    <sheet name="Dummy" sheetId="5" r:id="rId5"/>
  </sheets>
  <definedNames>
    <definedName name="_xlnm._FilterDatabase" localSheetId="1" hidden="1">Purchase!$A$2:$A$6</definedName>
    <definedName name="_xlnm.Criteria" localSheetId="3">Stock!$G$2:$G$3</definedName>
    <definedName name="_xlnm.Extract" localSheetId="3">Stock!$A$2</definedName>
    <definedName name="_xlnm.Print_Area" localSheetId="0">Invoice!$B$2:$I$34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7" i="2" l="1"/>
  <c r="K18" i="2"/>
  <c r="K19" i="2"/>
  <c r="K20" i="2"/>
  <c r="K21" i="2"/>
  <c r="K22" i="2"/>
  <c r="K23" i="2"/>
  <c r="K24" i="2"/>
  <c r="K25" i="2"/>
  <c r="K26" i="2"/>
  <c r="K16" i="2"/>
  <c r="D16" i="2"/>
  <c r="H9" i="2"/>
  <c r="D3" i="4"/>
  <c r="B16" i="2"/>
  <c r="D18" i="2"/>
  <c r="D19" i="2"/>
  <c r="D20" i="2"/>
  <c r="D21" i="2"/>
  <c r="D22" i="2"/>
  <c r="D23" i="2"/>
  <c r="D24" i="2"/>
  <c r="D25" i="2"/>
  <c r="D26" i="2"/>
  <c r="F17" i="2"/>
  <c r="E17" i="2"/>
  <c r="F16" i="2"/>
  <c r="H16" i="2" s="1"/>
  <c r="E16" i="2"/>
  <c r="B17" i="2"/>
  <c r="D17" i="2" l="1"/>
  <c r="I16" i="2"/>
  <c r="H17" i="2"/>
  <c r="I17" i="2" s="1"/>
  <c r="B18" i="2"/>
  <c r="B19" i="2" s="1"/>
  <c r="B20" i="2" s="1"/>
  <c r="B21" i="2" s="1"/>
  <c r="F20" i="2"/>
  <c r="E20" i="2"/>
  <c r="F19" i="2"/>
  <c r="E19" i="2"/>
  <c r="F18" i="2"/>
  <c r="E18" i="2"/>
  <c r="H19" i="2" l="1"/>
  <c r="I19" i="2" s="1"/>
  <c r="H18" i="2"/>
  <c r="I18" i="2" s="1"/>
  <c r="H20" i="2"/>
  <c r="I20" i="2" s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C3" i="4"/>
  <c r="C4" i="4"/>
  <c r="E4" i="4" s="1"/>
  <c r="C5" i="4"/>
  <c r="C6" i="4"/>
  <c r="C7" i="4"/>
  <c r="C8" i="4"/>
  <c r="C9" i="4"/>
  <c r="C10" i="4"/>
  <c r="C11" i="4"/>
  <c r="C12" i="4"/>
  <c r="C13" i="4"/>
  <c r="C14" i="4"/>
  <c r="C15" i="4"/>
  <c r="C16" i="4"/>
  <c r="E16" i="4" s="1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22" i="2"/>
  <c r="B23" i="2"/>
  <c r="B24" i="2"/>
  <c r="B25" i="2"/>
  <c r="B26" i="2"/>
  <c r="F21" i="2"/>
  <c r="H21" i="2" s="1"/>
  <c r="F22" i="2"/>
  <c r="H22" i="2" s="1"/>
  <c r="F23" i="2"/>
  <c r="H23" i="2" s="1"/>
  <c r="F24" i="2"/>
  <c r="H24" i="2" s="1"/>
  <c r="F25" i="2"/>
  <c r="H25" i="2" s="1"/>
  <c r="F26" i="2"/>
  <c r="H26" i="2" s="1"/>
  <c r="E21" i="2"/>
  <c r="E22" i="2"/>
  <c r="E23" i="2"/>
  <c r="E24" i="2"/>
  <c r="E25" i="2"/>
  <c r="E26" i="2"/>
  <c r="H10" i="2"/>
  <c r="E28" i="4" l="1"/>
  <c r="E19" i="4"/>
  <c r="E7" i="4"/>
  <c r="E30" i="4"/>
  <c r="E6" i="4"/>
  <c r="E18" i="4"/>
  <c r="E29" i="4"/>
  <c r="E17" i="4"/>
  <c r="E5" i="4"/>
  <c r="E15" i="4"/>
  <c r="E27" i="4"/>
  <c r="E26" i="4"/>
  <c r="E14" i="4"/>
  <c r="E25" i="4"/>
  <c r="E13" i="4"/>
  <c r="E22" i="4"/>
  <c r="E10" i="4"/>
  <c r="E24" i="4"/>
  <c r="E12" i="4"/>
  <c r="E23" i="4"/>
  <c r="E11" i="4"/>
  <c r="E3" i="4"/>
  <c r="E21" i="4"/>
  <c r="E9" i="4"/>
  <c r="E20" i="4"/>
  <c r="E8" i="4"/>
  <c r="I26" i="2"/>
  <c r="I25" i="2"/>
  <c r="I24" i="2"/>
  <c r="I23" i="2"/>
  <c r="I22" i="2"/>
  <c r="I21" i="2"/>
  <c r="I28" i="2" l="1"/>
</calcChain>
</file>

<file path=xl/sharedStrings.xml><?xml version="1.0" encoding="utf-8"?>
<sst xmlns="http://schemas.openxmlformats.org/spreadsheetml/2006/main" count="59" uniqueCount="35">
  <si>
    <t>Invoice Number</t>
  </si>
  <si>
    <t>Product Code</t>
  </si>
  <si>
    <t>Item</t>
  </si>
  <si>
    <t>Rate</t>
  </si>
  <si>
    <t>Quantity</t>
  </si>
  <si>
    <t>Vat 5%</t>
  </si>
  <si>
    <t>Amount</t>
  </si>
  <si>
    <t>Invoice No</t>
  </si>
  <si>
    <t>Date</t>
  </si>
  <si>
    <t>XYZ Company</t>
  </si>
  <si>
    <t>Happy Shopping</t>
  </si>
  <si>
    <t>Customer Details</t>
  </si>
  <si>
    <t>Subtotal</t>
  </si>
  <si>
    <t>Thank You for shopping with us</t>
  </si>
  <si>
    <t>Account</t>
  </si>
  <si>
    <t>Customer</t>
  </si>
  <si>
    <t>Purchase Entry</t>
  </si>
  <si>
    <t>Product Price</t>
  </si>
  <si>
    <t>Sale Price</t>
  </si>
  <si>
    <t>Mouse</t>
  </si>
  <si>
    <t>Keyboard</t>
  </si>
  <si>
    <t>SL. NO</t>
  </si>
  <si>
    <t>Item Name</t>
  </si>
  <si>
    <t>Sale Quantity</t>
  </si>
  <si>
    <t>In stock</t>
  </si>
  <si>
    <t>Stock Sheet</t>
  </si>
  <si>
    <t>Monitor</t>
  </si>
  <si>
    <t>Purchase Quantity</t>
  </si>
  <si>
    <t/>
  </si>
  <si>
    <t>TV</t>
  </si>
  <si>
    <t xml:space="preserve">Customer Name:   </t>
  </si>
  <si>
    <t>Company Address:</t>
  </si>
  <si>
    <t>Phone Number:</t>
  </si>
  <si>
    <t>TIN:</t>
  </si>
  <si>
    <t>Sale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</si>
</sst>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 mmm\ 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medium">
        <color theme="6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right"/>
    </xf>
    <xf numFmtId="14" fontId="0" fillId="0" borderId="0" xfId="0" applyNumberFormat="1"/>
    <xf numFmtId="0" fontId="5" fillId="3" borderId="0" xfId="0" applyFont="1" applyFill="1"/>
    <xf numFmtId="0" fontId="6" fillId="4" borderId="3" xfId="0" applyFont="1" applyFill="1" applyBorder="1"/>
    <xf numFmtId="0" fontId="6" fillId="4" borderId="4" xfId="0" applyFont="1" applyFill="1" applyBorder="1"/>
    <xf numFmtId="0" fontId="1" fillId="0" borderId="1" xfId="0" applyFont="1" applyBorder="1"/>
    <xf numFmtId="0" fontId="6" fillId="3" borderId="5" xfId="0" applyFont="1" applyFill="1" applyBorder="1"/>
    <xf numFmtId="0" fontId="7" fillId="0" borderId="0" xfId="0" applyFont="1"/>
    <xf numFmtId="0" fontId="3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 vertical="center"/>
    </xf>
    <xf numFmtId="164" fontId="0" fillId="0" borderId="2" xfId="0" applyNumberFormat="1" applyBorder="1" applyAlignment="1">
      <alignment horizontal="left" vertical="center"/>
    </xf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1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theme="4"/>
          <bgColor theme="0" tint="-4.9989318521683403E-2"/>
        </patternFill>
      </fill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scheme val="minor"/>
      </font>
      <fill>
        <patternFill patternType="solid">
          <fgColor indexed="64"/>
          <bgColor theme="0" tint="-4.9989318521683403E-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Purchase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Sale!A1"/><Relationship Id="rId1" Type="http://schemas.openxmlformats.org/officeDocument/2006/relationships/hyperlink" Target="#Invoic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Stock!A1"/><Relationship Id="rId2" Type="http://schemas.openxmlformats.org/officeDocument/2006/relationships/hyperlink" Target="#Invoice!A1"/><Relationship Id="rId1" Type="http://schemas.openxmlformats.org/officeDocument/2006/relationships/hyperlink" Target="#Purchase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Invoice!A1"/><Relationship Id="rId2" Type="http://schemas.openxmlformats.org/officeDocument/2006/relationships/hyperlink" Target="#Sale!A1"/><Relationship Id="rId1" Type="http://schemas.openxmlformats.org/officeDocument/2006/relationships/hyperlink" Target="#Purchas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600806</xdr:colOff>
      <xdr:row>1</xdr:row>
      <xdr:rowOff>36635</xdr:rowOff>
    </xdr:from>
    <xdr:to>
      <xdr:col>10</xdr:col>
      <xdr:colOff>2073518</xdr:colOff>
      <xdr:row>2</xdr:row>
      <xdr:rowOff>183173</xdr:rowOff>
    </xdr:to>
    <xdr:sp macro="[0]!addData" textlink="">
      <xdr:nvSpPr>
        <xdr:cNvPr id="2" name="Rounded Rectangle 1"/>
        <xdr:cNvSpPr/>
      </xdr:nvSpPr>
      <xdr:spPr>
        <a:xfrm>
          <a:off x="7246325" y="227135"/>
          <a:ext cx="2080847" cy="337038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Save</a:t>
          </a:r>
          <a:r>
            <a:rPr lang="en-US" sz="1600" baseline="0"/>
            <a:t> Invoice Entry</a:t>
          </a:r>
          <a:endParaRPr lang="en-US" sz="1600"/>
        </a:p>
      </xdr:txBody>
    </xdr:sp>
    <xdr:clientData/>
  </xdr:twoCellAnchor>
  <xdr:twoCellAnchor>
    <xdr:from>
      <xdr:col>10</xdr:col>
      <xdr:colOff>5861</xdr:colOff>
      <xdr:row>3</xdr:row>
      <xdr:rowOff>79131</xdr:rowOff>
    </xdr:from>
    <xdr:to>
      <xdr:col>11</xdr:col>
      <xdr:colOff>7327</xdr:colOff>
      <xdr:row>5</xdr:row>
      <xdr:rowOff>35169</xdr:rowOff>
    </xdr:to>
    <xdr:sp macro="[0]!saveinvoice" textlink="">
      <xdr:nvSpPr>
        <xdr:cNvPr id="3" name="Rounded Rectangle 2"/>
        <xdr:cNvSpPr/>
      </xdr:nvSpPr>
      <xdr:spPr>
        <a:xfrm>
          <a:off x="7259515" y="650631"/>
          <a:ext cx="2074985" cy="337038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Print Invoice</a:t>
          </a:r>
        </a:p>
      </xdr:txBody>
    </xdr:sp>
    <xdr:clientData/>
  </xdr:twoCellAnchor>
  <xdr:twoCellAnchor>
    <xdr:from>
      <xdr:col>10</xdr:col>
      <xdr:colOff>7326</xdr:colOff>
      <xdr:row>6</xdr:row>
      <xdr:rowOff>0</xdr:rowOff>
    </xdr:from>
    <xdr:to>
      <xdr:col>11</xdr:col>
      <xdr:colOff>7326</xdr:colOff>
      <xdr:row>7</xdr:row>
      <xdr:rowOff>131885</xdr:rowOff>
    </xdr:to>
    <xdr:sp macro="" textlink="">
      <xdr:nvSpPr>
        <xdr:cNvPr id="7" name="Rounded Rectangle 6">
          <a:hlinkClick xmlns:r="http://schemas.openxmlformats.org/officeDocument/2006/relationships" r:id="rId1"/>
        </xdr:cNvPr>
        <xdr:cNvSpPr/>
      </xdr:nvSpPr>
      <xdr:spPr>
        <a:xfrm>
          <a:off x="7260980" y="1143000"/>
          <a:ext cx="2073519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Purchase sheet</a:t>
          </a:r>
        </a:p>
      </xdr:txBody>
    </xdr:sp>
    <xdr:clientData/>
  </xdr:twoCellAnchor>
  <xdr:twoCellAnchor>
    <xdr:from>
      <xdr:col>10</xdr:col>
      <xdr:colOff>5862</xdr:colOff>
      <xdr:row>8</xdr:row>
      <xdr:rowOff>49823</xdr:rowOff>
    </xdr:from>
    <xdr:to>
      <xdr:col>11</xdr:col>
      <xdr:colOff>7327</xdr:colOff>
      <xdr:row>9</xdr:row>
      <xdr:rowOff>181708</xdr:rowOff>
    </xdr:to>
    <xdr:sp macro="" textlink="">
      <xdr:nvSpPr>
        <xdr:cNvPr id="8" name="Rounded Rectangle 7">
          <a:hlinkClick xmlns:r="http://schemas.openxmlformats.org/officeDocument/2006/relationships" r:id="rId2"/>
        </xdr:cNvPr>
        <xdr:cNvSpPr/>
      </xdr:nvSpPr>
      <xdr:spPr>
        <a:xfrm>
          <a:off x="7259516" y="1573823"/>
          <a:ext cx="2074984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Sale</a:t>
          </a:r>
          <a:r>
            <a:rPr lang="en-US" sz="1800" baseline="0"/>
            <a:t> Sheet</a:t>
          </a:r>
          <a:endParaRPr lang="en-US" sz="1800"/>
        </a:p>
      </xdr:txBody>
    </xdr:sp>
    <xdr:clientData/>
  </xdr:twoCellAnchor>
  <xdr:twoCellAnchor>
    <xdr:from>
      <xdr:col>10</xdr:col>
      <xdr:colOff>11724</xdr:colOff>
      <xdr:row>10</xdr:row>
      <xdr:rowOff>99646</xdr:rowOff>
    </xdr:from>
    <xdr:to>
      <xdr:col>10</xdr:col>
      <xdr:colOff>2063262</xdr:colOff>
      <xdr:row>12</xdr:row>
      <xdr:rowOff>41031</xdr:rowOff>
    </xdr:to>
    <xdr:sp macro="" textlink="">
      <xdr:nvSpPr>
        <xdr:cNvPr id="9" name="Rounded Rectangle 8">
          <a:hlinkClick xmlns:r="http://schemas.openxmlformats.org/officeDocument/2006/relationships" r:id="rId3"/>
        </xdr:cNvPr>
        <xdr:cNvSpPr/>
      </xdr:nvSpPr>
      <xdr:spPr>
        <a:xfrm>
          <a:off x="7265378" y="2004646"/>
          <a:ext cx="2051538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Stock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1464</xdr:colOff>
      <xdr:row>1</xdr:row>
      <xdr:rowOff>0</xdr:rowOff>
    </xdr:from>
    <xdr:to>
      <xdr:col>10</xdr:col>
      <xdr:colOff>246183</xdr:colOff>
      <xdr:row>2</xdr:row>
      <xdr:rowOff>131885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5364039" y="190500"/>
          <a:ext cx="2073519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Invoice sheet</a:t>
          </a:r>
        </a:p>
      </xdr:txBody>
    </xdr:sp>
    <xdr:clientData/>
  </xdr:twoCellAnchor>
  <xdr:twoCellAnchor>
    <xdr:from>
      <xdr:col>7</xdr:col>
      <xdr:colOff>0</xdr:colOff>
      <xdr:row>3</xdr:row>
      <xdr:rowOff>49823</xdr:rowOff>
    </xdr:from>
    <xdr:to>
      <xdr:col>10</xdr:col>
      <xdr:colOff>246184</xdr:colOff>
      <xdr:row>4</xdr:row>
      <xdr:rowOff>181708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5362575" y="621323"/>
          <a:ext cx="2074984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Sale</a:t>
          </a:r>
          <a:r>
            <a:rPr lang="en-US" sz="1800" baseline="0"/>
            <a:t> Sheet</a:t>
          </a:r>
          <a:endParaRPr lang="en-US" sz="1800"/>
        </a:p>
      </xdr:txBody>
    </xdr:sp>
    <xdr:clientData/>
  </xdr:twoCellAnchor>
  <xdr:twoCellAnchor>
    <xdr:from>
      <xdr:col>7</xdr:col>
      <xdr:colOff>5862</xdr:colOff>
      <xdr:row>5</xdr:row>
      <xdr:rowOff>99646</xdr:rowOff>
    </xdr:from>
    <xdr:to>
      <xdr:col>10</xdr:col>
      <xdr:colOff>228600</xdr:colOff>
      <xdr:row>7</xdr:row>
      <xdr:rowOff>41031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5368437" y="1052146"/>
          <a:ext cx="2051538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Stock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1464</xdr:colOff>
      <xdr:row>1</xdr:row>
      <xdr:rowOff>0</xdr:rowOff>
    </xdr:from>
    <xdr:to>
      <xdr:col>11</xdr:col>
      <xdr:colOff>246183</xdr:colOff>
      <xdr:row>2</xdr:row>
      <xdr:rowOff>131885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6059364" y="190500"/>
          <a:ext cx="2073519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Purchase sheet</a:t>
          </a:r>
        </a:p>
      </xdr:txBody>
    </xdr:sp>
    <xdr:clientData/>
  </xdr:twoCellAnchor>
  <xdr:twoCellAnchor>
    <xdr:from>
      <xdr:col>8</xdr:col>
      <xdr:colOff>0</xdr:colOff>
      <xdr:row>3</xdr:row>
      <xdr:rowOff>49823</xdr:rowOff>
    </xdr:from>
    <xdr:to>
      <xdr:col>11</xdr:col>
      <xdr:colOff>246184</xdr:colOff>
      <xdr:row>4</xdr:row>
      <xdr:rowOff>181708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6057900" y="621323"/>
          <a:ext cx="2074984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Invoice</a:t>
          </a:r>
          <a:r>
            <a:rPr lang="en-US" sz="1800" baseline="0"/>
            <a:t> Sheet</a:t>
          </a:r>
          <a:endParaRPr lang="en-US" sz="1800"/>
        </a:p>
      </xdr:txBody>
    </xdr:sp>
    <xdr:clientData/>
  </xdr:twoCellAnchor>
  <xdr:twoCellAnchor>
    <xdr:from>
      <xdr:col>8</xdr:col>
      <xdr:colOff>5862</xdr:colOff>
      <xdr:row>5</xdr:row>
      <xdr:rowOff>99646</xdr:rowOff>
    </xdr:from>
    <xdr:to>
      <xdr:col>11</xdr:col>
      <xdr:colOff>228600</xdr:colOff>
      <xdr:row>7</xdr:row>
      <xdr:rowOff>41031</xdr:rowOff>
    </xdr:to>
    <xdr:sp macro="" textlink="">
      <xdr:nvSpPr>
        <xdr:cNvPr id="4" name="Rounded Rectangle 3">
          <a:hlinkClick xmlns:r="http://schemas.openxmlformats.org/officeDocument/2006/relationships" r:id="rId3"/>
        </xdr:cNvPr>
        <xdr:cNvSpPr/>
      </xdr:nvSpPr>
      <xdr:spPr>
        <a:xfrm>
          <a:off x="6063762" y="1052146"/>
          <a:ext cx="2051538" cy="322385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Stock Sheet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590550</xdr:colOff>
      <xdr:row>1</xdr:row>
      <xdr:rowOff>0</xdr:rowOff>
    </xdr:from>
    <xdr:to>
      <xdr:col>9</xdr:col>
      <xdr:colOff>19050</xdr:colOff>
      <xdr:row>3</xdr:row>
      <xdr:rowOff>76200</xdr:rowOff>
    </xdr:to>
    <xdr:sp macro="[0]!data" textlink="">
      <xdr:nvSpPr>
        <xdr:cNvPr id="2" name="Rounded Rectangle 1"/>
        <xdr:cNvSpPr/>
      </xdr:nvSpPr>
      <xdr:spPr>
        <a:xfrm>
          <a:off x="5467350" y="190500"/>
          <a:ext cx="2190750" cy="46672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Refresh</a:t>
          </a:r>
        </a:p>
      </xdr:txBody>
    </xdr:sp>
    <xdr:clientData/>
  </xdr:twoCellAnchor>
  <xdr:twoCellAnchor>
    <xdr:from>
      <xdr:col>6</xdr:col>
      <xdr:colOff>10989</xdr:colOff>
      <xdr:row>3</xdr:row>
      <xdr:rowOff>171450</xdr:rowOff>
    </xdr:from>
    <xdr:to>
      <xdr:col>8</xdr:col>
      <xdr:colOff>599220</xdr:colOff>
      <xdr:row>5</xdr:row>
      <xdr:rowOff>186104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5497389" y="752475"/>
          <a:ext cx="2131281" cy="39565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Purchase sheet</a:t>
          </a:r>
        </a:p>
      </xdr:txBody>
    </xdr:sp>
    <xdr:clientData/>
  </xdr:twoCellAnchor>
  <xdr:twoCellAnchor>
    <xdr:from>
      <xdr:col>6</xdr:col>
      <xdr:colOff>9524</xdr:colOff>
      <xdr:row>6</xdr:row>
      <xdr:rowOff>68873</xdr:rowOff>
    </xdr:from>
    <xdr:to>
      <xdr:col>8</xdr:col>
      <xdr:colOff>599261</xdr:colOff>
      <xdr:row>8</xdr:row>
      <xdr:rowOff>83527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5495924" y="1221398"/>
          <a:ext cx="2132787" cy="39565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Sale</a:t>
          </a:r>
          <a:r>
            <a:rPr lang="en-US" sz="1800" baseline="0"/>
            <a:t> Sheet</a:t>
          </a:r>
          <a:endParaRPr lang="en-US" sz="1800"/>
        </a:p>
      </xdr:txBody>
    </xdr:sp>
    <xdr:clientData/>
  </xdr:twoCellAnchor>
  <xdr:twoCellAnchor>
    <xdr:from>
      <xdr:col>6</xdr:col>
      <xdr:colOff>15387</xdr:colOff>
      <xdr:row>8</xdr:row>
      <xdr:rowOff>156796</xdr:rowOff>
    </xdr:from>
    <xdr:to>
      <xdr:col>8</xdr:col>
      <xdr:colOff>600075</xdr:colOff>
      <xdr:row>10</xdr:row>
      <xdr:rowOff>171450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501787" y="1690321"/>
          <a:ext cx="2127738" cy="395654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/>
            <a:t>Invoice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B15:I26" totalsRowShown="0">
  <tableColumns count="8">
    <tableColumn id="1" name="SL. NO" dataDxfId="16">
      <calculatedColumnFormula>IFERROR(IF(Table1[[#This Row],[Product Code]]="","",1+B15),1)</calculatedColumnFormula>
    </tableColumn>
    <tableColumn id="3" name="Product Code" dataDxfId="15"/>
    <tableColumn id="9" name="Invoice Number" dataDxfId="14">
      <calculatedColumnFormula>IF(Table1[[#This Row],[Product Code]]="","",$H$9)</calculatedColumnFormula>
    </tableColumn>
    <tableColumn id="4" name="Item" dataDxfId="13">
      <calculatedColumnFormula>IFERROR(VLOOKUP(Table1[[#This Row],[Product Code]],Table2[#All],3,0),"")</calculatedColumnFormula>
    </tableColumn>
    <tableColumn id="5" name="Rate" dataDxfId="12">
      <calculatedColumnFormula>IFERROR(VLOOKUP(Table1[[#This Row],[Product Code]],Table2[#All],6,0),"")</calculatedColumnFormula>
    </tableColumn>
    <tableColumn id="6" name="Quantity"/>
    <tableColumn id="7" name="Vat 5%" dataDxfId="11">
      <calculatedColumnFormula>IFERROR(Table1[[#This Row],[Rate]]*Table1[[#This Row],[Quantity]]*0.05,"")</calculatedColumnFormula>
    </tableColumn>
    <tableColumn id="8" name="Amount" dataDxfId="10">
      <calculatedColumnFormula>IFERROR(Table1[[#This Row],[Rate]]*Table1[[#This Row],[Quantity]]+Table1[[#This Row],[Vat 5%]],"")</calculatedColumnFormula>
    </tableColumn>
  </tableColumns>
  <tableStyleInfo name="TableStyleLight18" showFirstColumn="0" showLastColumn="0" showRowStripes="0" showColumnStripes="0"/>
</table>
</file>

<file path=xl/tables/table2.xml><?xml version="1.0" encoding="utf-8"?>
<table xmlns="http://schemas.openxmlformats.org/spreadsheetml/2006/main" id="2" name="Table2" displayName="Table2" ref="A2:F6" totalsRowShown="0" headerRowDxfId="9">
  <tableColumns count="6">
    <tableColumn id="1" name="Product Code"/>
    <tableColumn id="2" name="Date" dataDxfId="8"/>
    <tableColumn id="3" name="Item"/>
    <tableColumn id="4" name="Product Price"/>
    <tableColumn id="5" name="Quantity"/>
    <tableColumn id="6" name="Sale Price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id="3" name="Table3" displayName="Table3" ref="A2:G12" totalsRowShown="0" headerRowDxfId="7" headerRowBorderDxfId="6" tableBorderDxfId="5">
  <tableColumns count="7">
    <tableColumn id="3" name="Product Code"/>
    <tableColumn id="9" name="Invoice Number"/>
    <tableColumn id="4" name="Item"/>
    <tableColumn id="5" name="Rate"/>
    <tableColumn id="6" name="Quantity"/>
    <tableColumn id="7" name="Vat 5%"/>
    <tableColumn id="8" name="Amount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id="4" name="Table4" displayName="Table4" ref="A2:E30" totalsRowShown="0" headerRowDxfId="4">
  <tableColumns count="5">
    <tableColumn id="1" name="Product Code"/>
    <tableColumn id="2" name="Item Name" dataDxfId="3">
      <calculatedColumnFormula>IFERROR(VLOOKUP(Table4[[#This Row],[Product Code]],Table2[#All],3),"")</calculatedColumnFormula>
    </tableColumn>
    <tableColumn id="3" name="Purchase Quantity" dataDxfId="2">
      <calculatedColumnFormula>SUMIF(Stock!A3:A5,Table4[[#This Row],[Product Code]],Table2[Quantity])</calculatedColumnFormula>
    </tableColumn>
    <tableColumn id="4" name="Sale Quantity" dataDxfId="1">
      <calculatedColumnFormula>SUMIF(Table3[Product Code],Table4[[#This Row],[Product Code]],Table3[Quantity])</calculatedColumnFormula>
    </tableColumn>
    <tableColumn id="5" name="In stock" dataDxfId="0">
      <calculatedColumnFormula>Table4[[#This Row],[Purchase Quantity]]-Table4[[#This Row],[Sale Quantity]]</calculatedColumnFormula>
    </tableColumn>
  </tableColumns>
  <tableStyleInfo name="TableStyleLight18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34"/>
  <sheetViews>
    <sheetView tabSelected="1" zoomScale="130" zoomScaleNormal="130" workbookViewId="0">
      <selection activeCell="K18" sqref="K18"/>
    </sheetView>
  </sheetViews>
  <sheetFormatPr defaultRowHeight="15" x14ac:dyDescent="0.25"/>
  <cols>
    <col min="3" max="3" width="17.28515625" customWidth="1"/>
    <col min="4" max="4" width="15.5703125" customWidth="1"/>
    <col min="7" max="7" width="10.85546875" customWidth="1"/>
    <col min="9" max="9" width="10.28515625" customWidth="1"/>
    <col min="11" max="11" width="31.140625" customWidth="1"/>
  </cols>
  <sheetData>
    <row r="2" spans="2:11" x14ac:dyDescent="0.25">
      <c r="B2" s="9" t="s">
        <v>9</v>
      </c>
      <c r="C2" s="10"/>
      <c r="D2" s="10"/>
      <c r="E2" s="10"/>
      <c r="F2" s="10"/>
      <c r="G2" s="10"/>
      <c r="H2" s="10"/>
      <c r="I2" s="10"/>
    </row>
    <row r="3" spans="2:11" x14ac:dyDescent="0.25">
      <c r="B3" s="10"/>
      <c r="C3" s="10"/>
      <c r="D3" s="10"/>
      <c r="E3" s="10"/>
      <c r="F3" s="10"/>
      <c r="G3" s="10"/>
      <c r="H3" s="10"/>
      <c r="I3" s="10"/>
    </row>
    <row r="4" spans="2:11" x14ac:dyDescent="0.25">
      <c r="B4" s="11" t="s">
        <v>10</v>
      </c>
      <c r="C4" s="12"/>
      <c r="D4" s="12"/>
      <c r="E4" s="12"/>
      <c r="F4" s="12"/>
      <c r="G4" s="12"/>
      <c r="H4" s="12"/>
      <c r="I4" s="12"/>
    </row>
    <row r="6" spans="2:11" x14ac:dyDescent="0.25">
      <c r="B6" s="13" t="s">
        <v>11</v>
      </c>
      <c r="C6" s="13"/>
      <c r="D6" s="13"/>
      <c r="E6" s="13"/>
      <c r="F6" s="13"/>
      <c r="G6" s="13"/>
      <c r="H6" s="13"/>
      <c r="I6" s="13"/>
    </row>
    <row r="9" spans="2:11" x14ac:dyDescent="0.25">
      <c r="B9" s="18" t="s">
        <v>30</v>
      </c>
      <c r="C9" s="18"/>
      <c r="D9" s="20"/>
      <c r="E9" s="20"/>
      <c r="G9" s="1" t="s">
        <v>7</v>
      </c>
      <c r="H9" s="23">
        <f>MAX(Sale!B2:B12)+1</f>
        <v>3</v>
      </c>
      <c r="I9" s="23"/>
    </row>
    <row r="10" spans="2:11" x14ac:dyDescent="0.25">
      <c r="B10" s="18" t="s">
        <v>31</v>
      </c>
      <c r="C10" s="18"/>
      <c r="D10" s="21"/>
      <c r="E10" s="21"/>
      <c r="G10" s="1" t="s">
        <v>8</v>
      </c>
      <c r="H10" s="24">
        <f ca="1">TODAY()</f>
        <v>44790</v>
      </c>
      <c r="I10" s="24"/>
    </row>
    <row r="11" spans="2:11" x14ac:dyDescent="0.25">
      <c r="B11" s="18" t="s">
        <v>32</v>
      </c>
      <c r="C11" s="18"/>
      <c r="D11" s="22"/>
      <c r="E11" s="22"/>
    </row>
    <row r="12" spans="2:11" x14ac:dyDescent="0.25">
      <c r="B12" s="19" t="s">
        <v>33</v>
      </c>
      <c r="C12" s="19"/>
      <c r="D12" s="22"/>
      <c r="E12" s="22"/>
    </row>
    <row r="15" spans="2:11" x14ac:dyDescent="0.25">
      <c r="B15" t="s">
        <v>21</v>
      </c>
      <c r="C15" t="s">
        <v>1</v>
      </c>
      <c r="D15" t="s">
        <v>0</v>
      </c>
      <c r="E15" t="s">
        <v>2</v>
      </c>
      <c r="F15" t="s">
        <v>3</v>
      </c>
      <c r="G15" t="s">
        <v>4</v>
      </c>
      <c r="H15" t="s">
        <v>5</v>
      </c>
      <c r="I15" t="s">
        <v>6</v>
      </c>
    </row>
    <row r="16" spans="2:11" x14ac:dyDescent="0.25">
      <c r="B16" t="str">
        <f>IFERROR(IF(Table1[[#This Row],[Product Code]]="","",1+B15),1)</f>
        <v/>
      </c>
      <c r="D16" t="str">
        <f>IF(Table1[[#This Row],[Product Code]]="","",$H$9)</f>
        <v/>
      </c>
      <c r="E16" t="str">
        <f>IFERROR(VLOOKUP(Table1[[#This Row],[Product Code]],Table2[#All],3,0),"")</f>
        <v/>
      </c>
      <c r="F16" t="str">
        <f>IFERROR(VLOOKUP(Table1[[#This Row],[Product Code]],Table2[#All],6,0),"")</f>
        <v/>
      </c>
      <c r="H16" t="str">
        <f>IFERROR(Table1[[#This Row],[Rate]]*Table1[[#This Row],[Quantity]]*0.05,"")</f>
        <v/>
      </c>
      <c r="I16" t="str">
        <f>IFERROR(Table1[[#This Row],[Rate]]*Table1[[#This Row],[Quantity]]+Table1[[#This Row],[Vat 5%]],"")</f>
        <v/>
      </c>
      <c r="K16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17" spans="2:11" x14ac:dyDescent="0.25">
      <c r="B17" t="str">
        <f>IFERROR(IF(Table1[[#This Row],[Product Code]]="","",1+B16),1)</f>
        <v/>
      </c>
      <c r="D17" t="str">
        <f>IF(Table1[[#This Row],[Product Code]]="","",$H$9)</f>
        <v/>
      </c>
      <c r="E17" t="str">
        <f>IFERROR(VLOOKUP(Table1[[#This Row],[Product Code]],Table2[#All],3,0),"")</f>
        <v/>
      </c>
      <c r="F17" t="str">
        <f>IFERROR(VLOOKUP(Table1[[#This Row],[Product Code]],Table2[#All],6,0),"")</f>
        <v/>
      </c>
      <c r="H17" t="str">
        <f>IFERROR(Table1[[#This Row],[Rate]]*Table1[[#This Row],[Quantity]]*0.05,"")</f>
        <v/>
      </c>
      <c r="I17" t="str">
        <f>IFERROR(Table1[[#This Row],[Rate]]*Table1[[#This Row],[Quantity]]+Table1[[#This Row],[Vat 5%]],"")</f>
        <v/>
      </c>
      <c r="K17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18" spans="2:11" x14ac:dyDescent="0.25">
      <c r="B18" t="str">
        <f>IFERROR(IF(Table1[[#This Row],[Product Code]]="","",1+B17),1)</f>
        <v/>
      </c>
      <c r="D18" t="str">
        <f>IF(Table1[[#This Row],[Product Code]]="","",$H$9)</f>
        <v/>
      </c>
      <c r="E18" t="str">
        <f>IFERROR(VLOOKUP(Table1[[#This Row],[Product Code]],Table2[#All],3,0),"")</f>
        <v/>
      </c>
      <c r="F18" t="str">
        <f>IFERROR(VLOOKUP(Table1[[#This Row],[Product Code]],Table2[#All],6,0),"")</f>
        <v/>
      </c>
      <c r="H18" t="str">
        <f>IFERROR(Table1[[#This Row],[Rate]]*Table1[[#This Row],[Quantity]]*0.05,"")</f>
        <v/>
      </c>
      <c r="I18" t="str">
        <f>IFERROR(Table1[[#This Row],[Rate]]*Table1[[#This Row],[Quantity]]+Table1[[#This Row],[Vat 5%]],"")</f>
        <v/>
      </c>
      <c r="K18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19" spans="2:11" x14ac:dyDescent="0.25">
      <c r="B19" t="str">
        <f>IFERROR(IF(Table1[[#This Row],[Product Code]]="","",1+B18),1)</f>
        <v/>
      </c>
      <c r="D19" t="str">
        <f>IF(Table1[[#This Row],[Product Code]]="","",$H$9)</f>
        <v/>
      </c>
      <c r="E19" t="str">
        <f>IFERROR(VLOOKUP(Table1[[#This Row],[Product Code]],Table2[#All],3,0),"")</f>
        <v/>
      </c>
      <c r="F19" t="str">
        <f>IFERROR(VLOOKUP(Table1[[#This Row],[Product Code]],Table2[#All],6,0),"")</f>
        <v/>
      </c>
      <c r="H19" t="str">
        <f>IFERROR(Table1[[#This Row],[Rate]]*Table1[[#This Row],[Quantity]]*0.05,"")</f>
        <v/>
      </c>
      <c r="I19" t="str">
        <f>IFERROR(Table1[[#This Row],[Rate]]*Table1[[#This Row],[Quantity]]+Table1[[#This Row],[Vat 5%]],"")</f>
        <v/>
      </c>
      <c r="K19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20" spans="2:11" x14ac:dyDescent="0.25">
      <c r="B20" t="str">
        <f>IFERROR(IF(Table1[[#This Row],[Product Code]]="","",1+B19),1)</f>
        <v/>
      </c>
      <c r="D20" t="str">
        <f>IF(Table1[[#This Row],[Product Code]]="","",$H$9)</f>
        <v/>
      </c>
      <c r="E20" t="str">
        <f>IFERROR(VLOOKUP(Table1[[#This Row],[Product Code]],Table2[#All],3,0),"")</f>
        <v/>
      </c>
      <c r="F20" t="str">
        <f>IFERROR(VLOOKUP(Table1[[#This Row],[Product Code]],Table2[#All],6,0),"")</f>
        <v/>
      </c>
      <c r="H20" t="str">
        <f>IFERROR(Table1[[#This Row],[Rate]]*Table1[[#This Row],[Quantity]]*0.05,"")</f>
        <v/>
      </c>
      <c r="I20" t="str">
        <f>IFERROR(Table1[[#This Row],[Rate]]*Table1[[#This Row],[Quantity]]+Table1[[#This Row],[Vat 5%]],"")</f>
        <v/>
      </c>
      <c r="K20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21" spans="2:11" x14ac:dyDescent="0.25">
      <c r="B21" t="str">
        <f>IFERROR(IF(Table1[[#This Row],[Product Code]]="","",1+B20),1)</f>
        <v/>
      </c>
      <c r="D21" t="str">
        <f>IF(Table1[[#This Row],[Product Code]]="","",$H$9)</f>
        <v/>
      </c>
      <c r="E21" t="str">
        <f>IFERROR(VLOOKUP(Table1[[#This Row],[Product Code]],Table2[#All],3,0),"")</f>
        <v/>
      </c>
      <c r="F21" t="str">
        <f>IFERROR(VLOOKUP(Table1[[#This Row],[Product Code]],Table2[#All],6,0),"")</f>
        <v/>
      </c>
      <c r="H21" t="str">
        <f>IFERROR(Table1[[#This Row],[Rate]]*Table1[[#This Row],[Quantity]]*0.05,"")</f>
        <v/>
      </c>
      <c r="I21" t="str">
        <f>IFERROR(Table1[[#This Row],[Rate]]*Table1[[#This Row],[Quantity]]+Table1[[#This Row],[Vat 5%]],"")</f>
        <v/>
      </c>
      <c r="K21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22" spans="2:11" x14ac:dyDescent="0.25">
      <c r="B22" t="str">
        <f>IFERROR(IF(Table1[[#This Row],[Product Code]]="","",1+B21),1)</f>
        <v/>
      </c>
      <c r="D22" t="str">
        <f>IF(Table1[[#This Row],[Product Code]]="","",$H$9)</f>
        <v/>
      </c>
      <c r="E22" t="str">
        <f>IFERROR(VLOOKUP(Table1[[#This Row],[Product Code]],Table2[#All],3,0),"")</f>
        <v/>
      </c>
      <c r="F22" t="str">
        <f>IFERROR(VLOOKUP(Table1[[#This Row],[Product Code]],Table2[#All],6,0),"")</f>
        <v/>
      </c>
      <c r="H22" t="str">
        <f>IFERROR(Table1[[#This Row],[Rate]]*Table1[[#This Row],[Quantity]]*0.05,"")</f>
        <v/>
      </c>
      <c r="I22" t="str">
        <f>IFERROR(Table1[[#This Row],[Rate]]*Table1[[#This Row],[Quantity]]+Table1[[#This Row],[Vat 5%]],"")</f>
        <v/>
      </c>
      <c r="K22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23" spans="2:11" x14ac:dyDescent="0.25">
      <c r="B23" t="str">
        <f>IFERROR(IF(Table1[[#This Row],[Product Code]]="","",1+B22),1)</f>
        <v/>
      </c>
      <c r="D23" t="str">
        <f>IF(Table1[[#This Row],[Product Code]]="","",$H$9)</f>
        <v/>
      </c>
      <c r="E23" t="str">
        <f>IFERROR(VLOOKUP(Table1[[#This Row],[Product Code]],Table2[#All],3,0),"")</f>
        <v/>
      </c>
      <c r="F23" t="str">
        <f>IFERROR(VLOOKUP(Table1[[#This Row],[Product Code]],Table2[#All],6,0),"")</f>
        <v/>
      </c>
      <c r="H23" t="str">
        <f>IFERROR(Table1[[#This Row],[Rate]]*Table1[[#This Row],[Quantity]]*0.05,"")</f>
        <v/>
      </c>
      <c r="I23" t="str">
        <f>IFERROR(Table1[[#This Row],[Rate]]*Table1[[#This Row],[Quantity]]+Table1[[#This Row],[Vat 5%]],"")</f>
        <v/>
      </c>
      <c r="K23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24" spans="2:11" x14ac:dyDescent="0.25">
      <c r="B24" t="str">
        <f>IFERROR(IF(Table1[[#This Row],[Product Code]]="","",1+B23),1)</f>
        <v/>
      </c>
      <c r="D24" t="str">
        <f>IF(Table1[[#This Row],[Product Code]]="","",$H$9)</f>
        <v/>
      </c>
      <c r="E24" t="str">
        <f>IFERROR(VLOOKUP(Table1[[#This Row],[Product Code]],Table2[#All],3,0),"")</f>
        <v/>
      </c>
      <c r="F24" t="str">
        <f>IFERROR(VLOOKUP(Table1[[#This Row],[Product Code]],Table2[#All],6,0),"")</f>
        <v/>
      </c>
      <c r="H24" t="str">
        <f>IFERROR(Table1[[#This Row],[Rate]]*Table1[[#This Row],[Quantity]]*0.05,"")</f>
        <v/>
      </c>
      <c r="I24" t="str">
        <f>IFERROR(Table1[[#This Row],[Rate]]*Table1[[#This Row],[Quantity]]+Table1[[#This Row],[Vat 5%]],"")</f>
        <v/>
      </c>
      <c r="K24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25" spans="2:11" x14ac:dyDescent="0.25">
      <c r="B25" t="str">
        <f>IFERROR(IF(Table1[[#This Row],[Product Code]]="","",1+B24),1)</f>
        <v/>
      </c>
      <c r="D25" t="str">
        <f>IF(Table1[[#This Row],[Product Code]]="","",$H$9)</f>
        <v/>
      </c>
      <c r="E25" t="str">
        <f>IFERROR(VLOOKUP(Table1[[#This Row],[Product Code]],Table2[#All],3,0),"")</f>
        <v/>
      </c>
      <c r="F25" t="str">
        <f>IFERROR(VLOOKUP(Table1[[#This Row],[Product Code]],Table2[#All],6,0),"")</f>
        <v/>
      </c>
      <c r="H25" t="str">
        <f>IFERROR(Table1[[#This Row],[Rate]]*Table1[[#This Row],[Quantity]]*0.05,"")</f>
        <v/>
      </c>
      <c r="I25" t="str">
        <f>IFERROR(Table1[[#This Row],[Rate]]*Table1[[#This Row],[Quantity]]+Table1[[#This Row],[Vat 5%]],"")</f>
        <v/>
      </c>
      <c r="K25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26" spans="2:11" x14ac:dyDescent="0.25">
      <c r="B26" t="str">
        <f>IFERROR(IF(Table1[[#This Row],[Product Code]]="","",1+B25),1)</f>
        <v/>
      </c>
      <c r="D26" t="str">
        <f>IF(Table1[[#This Row],[Product Code]]="","",$H$9)</f>
        <v/>
      </c>
      <c r="E26" t="str">
        <f>IFERROR(VLOOKUP(Table1[[#This Row],[Product Code]],Table2[#All],3,0),"")</f>
        <v/>
      </c>
      <c r="F26" t="str">
        <f>IFERROR(VLOOKUP(Table1[[#This Row],[Product Code]],Table2[#All],6,0),"")</f>
        <v/>
      </c>
      <c r="H26" t="str">
        <f>IFERROR(Table1[[#This Row],[Rate]]*Table1[[#This Row],[Quantity]]*0.05,"")</f>
        <v/>
      </c>
      <c r="I26" t="str">
        <f>IFERROR(Table1[[#This Row],[Rate]]*Table1[[#This Row],[Quantity]]+Table1[[#This Row],[Vat 5%]],"")</f>
        <v/>
      </c>
      <c r="K26" s="8" t="str">
        <f>IFERROR(IF(VLOOKUP(Table1[[#This Row],[Product Code]],Table4[#All],5,0)&lt;Table1[[#This Row],[Quantity]],"Stock not available ! Only "&amp;VLOOKUP(Table1[[#This Row],[Product Code]],Table4[#All],5,0)&amp;" remain",""),"")</f>
        <v/>
      </c>
    </row>
    <row r="28" spans="2:11" x14ac:dyDescent="0.25">
      <c r="G28" s="17" t="s">
        <v>12</v>
      </c>
      <c r="H28" s="17"/>
      <c r="I28" s="6">
        <f>SUM(Table1[Amount])</f>
        <v>0</v>
      </c>
    </row>
    <row r="30" spans="2:11" x14ac:dyDescent="0.25">
      <c r="B30" s="15"/>
      <c r="C30" s="15"/>
      <c r="H30" s="15"/>
      <c r="I30" s="15"/>
    </row>
    <row r="31" spans="2:11" x14ac:dyDescent="0.25">
      <c r="B31" s="16" t="s">
        <v>15</v>
      </c>
      <c r="C31" s="16"/>
      <c r="H31" s="16" t="s">
        <v>14</v>
      </c>
      <c r="I31" s="16"/>
    </row>
    <row r="33" spans="2:9" x14ac:dyDescent="0.25">
      <c r="B33" s="10" t="s">
        <v>13</v>
      </c>
      <c r="C33" s="14"/>
      <c r="D33" s="14"/>
      <c r="E33" s="14"/>
      <c r="F33" s="14"/>
      <c r="G33" s="14"/>
      <c r="H33" s="14"/>
      <c r="I33" s="14"/>
    </row>
    <row r="34" spans="2:9" x14ac:dyDescent="0.25">
      <c r="B34" s="14"/>
      <c r="C34" s="14"/>
      <c r="D34" s="14"/>
      <c r="E34" s="14"/>
      <c r="F34" s="14"/>
      <c r="G34" s="14"/>
      <c r="H34" s="14"/>
      <c r="I34" s="14"/>
    </row>
  </sheetData>
  <mergeCells count="19">
    <mergeCell ref="D12:E12"/>
    <mergeCell ref="H9:I9"/>
    <mergeCell ref="H10:I10"/>
    <mergeCell ref="B2:I3"/>
    <mergeCell ref="B4:I4"/>
    <mergeCell ref="B6:I6"/>
    <mergeCell ref="B33:I34"/>
    <mergeCell ref="H30:I30"/>
    <mergeCell ref="H31:I31"/>
    <mergeCell ref="B30:C30"/>
    <mergeCell ref="B31:C31"/>
    <mergeCell ref="G28:H28"/>
    <mergeCell ref="B9:C9"/>
    <mergeCell ref="B10:C10"/>
    <mergeCell ref="B11:C11"/>
    <mergeCell ref="B12:C12"/>
    <mergeCell ref="D9:E9"/>
    <mergeCell ref="D10:E10"/>
    <mergeCell ref="D11:E11"/>
  </mergeCells>
  <pageMargins left="0.7" right="0.7" top="0.75" bottom="0.75" header="0.3" footer="0.3"/>
  <pageSetup scale="95" orientation="portrait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6"/>
  <sheetViews>
    <sheetView workbookViewId="0">
      <selection sqref="A1:F1"/>
    </sheetView>
  </sheetViews>
  <sheetFormatPr defaultRowHeight="15" x14ac:dyDescent="0.25"/>
  <cols>
    <col min="1" max="1" width="15" customWidth="1"/>
    <col min="4" max="4" width="14.85546875" customWidth="1"/>
    <col min="5" max="5" width="10.85546875" customWidth="1"/>
    <col min="6" max="6" width="12.28515625" customWidth="1"/>
  </cols>
  <sheetData>
    <row r="1" spans="1:6" x14ac:dyDescent="0.25">
      <c r="A1" s="25" t="s">
        <v>16</v>
      </c>
      <c r="B1" s="25"/>
      <c r="C1" s="25"/>
      <c r="D1" s="25"/>
      <c r="E1" s="25"/>
      <c r="F1" s="25"/>
    </row>
    <row r="2" spans="1:6" x14ac:dyDescent="0.25">
      <c r="A2" s="3" t="s">
        <v>1</v>
      </c>
      <c r="B2" s="3" t="s">
        <v>8</v>
      </c>
      <c r="C2" s="3" t="s">
        <v>2</v>
      </c>
      <c r="D2" s="3" t="s">
        <v>17</v>
      </c>
      <c r="E2" s="3" t="s">
        <v>4</v>
      </c>
      <c r="F2" s="3" t="s">
        <v>18</v>
      </c>
    </row>
    <row r="3" spans="1:6" x14ac:dyDescent="0.25">
      <c r="A3">
        <v>101</v>
      </c>
      <c r="B3" s="2">
        <v>44562</v>
      </c>
      <c r="C3" t="s">
        <v>19</v>
      </c>
      <c r="D3">
        <v>120</v>
      </c>
      <c r="E3">
        <v>20</v>
      </c>
      <c r="F3">
        <v>170</v>
      </c>
    </row>
    <row r="4" spans="1:6" x14ac:dyDescent="0.25">
      <c r="A4">
        <v>102</v>
      </c>
      <c r="B4" s="2">
        <v>44563</v>
      </c>
      <c r="C4" t="s">
        <v>20</v>
      </c>
      <c r="D4">
        <v>120</v>
      </c>
      <c r="E4">
        <v>20</v>
      </c>
      <c r="F4">
        <v>170</v>
      </c>
    </row>
    <row r="5" spans="1:6" x14ac:dyDescent="0.25">
      <c r="A5">
        <v>103</v>
      </c>
      <c r="B5" s="2">
        <v>44564</v>
      </c>
      <c r="C5" t="s">
        <v>26</v>
      </c>
      <c r="D5">
        <v>1100</v>
      </c>
      <c r="E5">
        <v>10</v>
      </c>
      <c r="F5">
        <v>1200</v>
      </c>
    </row>
    <row r="6" spans="1:6" x14ac:dyDescent="0.25">
      <c r="A6">
        <v>104</v>
      </c>
      <c r="B6" s="2">
        <v>44563</v>
      </c>
      <c r="C6" t="s">
        <v>29</v>
      </c>
      <c r="D6">
        <v>1500</v>
      </c>
      <c r="E6">
        <v>10</v>
      </c>
      <c r="F6">
        <v>1500</v>
      </c>
    </row>
  </sheetData>
  <mergeCells count="1">
    <mergeCell ref="A1:F1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"/>
  <sheetViews>
    <sheetView workbookViewId="0">
      <selection activeCell="D38" activeCellId="1" sqref="A1:G1 D38:D39"/>
    </sheetView>
  </sheetViews>
  <sheetFormatPr defaultRowHeight="15" x14ac:dyDescent="0.25"/>
  <cols>
    <col min="1" max="1" width="17.28515625" customWidth="1"/>
    <col min="2" max="2" width="15.85546875" customWidth="1"/>
    <col min="5" max="5" width="10.85546875" customWidth="1"/>
    <col min="7" max="7" width="10.28515625" customWidth="1"/>
  </cols>
  <sheetData>
    <row r="1" spans="1:7" x14ac:dyDescent="0.25">
      <c r="A1" s="25" t="s">
        <v>34</v>
      </c>
      <c r="B1" s="26"/>
      <c r="C1" s="26"/>
      <c r="D1" s="26"/>
      <c r="E1" s="26"/>
      <c r="F1" s="26"/>
      <c r="G1" s="26"/>
    </row>
    <row r="2" spans="1:7" x14ac:dyDescent="0.25">
      <c r="A2" s="4" t="s">
        <v>1</v>
      </c>
      <c r="B2" s="4" t="s">
        <v>0</v>
      </c>
      <c r="C2" s="4" t="s">
        <v>2</v>
      </c>
      <c r="D2" s="4" t="s">
        <v>3</v>
      </c>
      <c r="E2" s="4" t="s">
        <v>4</v>
      </c>
      <c r="F2" s="4" t="s">
        <v>5</v>
      </c>
      <c r="G2" s="5" t="s">
        <v>6</v>
      </c>
    </row>
    <row r="3" spans="1:7" x14ac:dyDescent="0.25">
      <c r="A3">
        <v>102</v>
      </c>
      <c r="B3">
        <v>2</v>
      </c>
      <c r="C3" t="s">
        <v>20</v>
      </c>
      <c r="D3">
        <v>170</v>
      </c>
      <c r="E3">
        <v>2</v>
      </c>
      <c r="F3">
        <v>17</v>
      </c>
      <c r="G3">
        <v>357</v>
      </c>
    </row>
    <row r="4" spans="1:7" x14ac:dyDescent="0.25">
      <c r="A4">
        <v>104</v>
      </c>
      <c r="B4">
        <v>2</v>
      </c>
      <c r="C4" t="s">
        <v>29</v>
      </c>
      <c r="D4">
        <v>1500</v>
      </c>
      <c r="E4">
        <v>2</v>
      </c>
      <c r="F4">
        <v>150</v>
      </c>
      <c r="G4">
        <v>3150</v>
      </c>
    </row>
    <row r="5" spans="1:7" x14ac:dyDescent="0.25">
      <c r="A5">
        <v>103</v>
      </c>
      <c r="B5">
        <v>2</v>
      </c>
      <c r="C5" t="s">
        <v>26</v>
      </c>
      <c r="D5">
        <v>1200</v>
      </c>
      <c r="E5">
        <v>3</v>
      </c>
      <c r="F5">
        <v>180</v>
      </c>
      <c r="G5">
        <v>3780</v>
      </c>
    </row>
    <row r="6" spans="1:7" x14ac:dyDescent="0.25">
      <c r="A6">
        <v>101</v>
      </c>
      <c r="B6">
        <v>1</v>
      </c>
      <c r="C6" t="s">
        <v>19</v>
      </c>
      <c r="D6">
        <v>170</v>
      </c>
      <c r="E6">
        <v>1</v>
      </c>
      <c r="F6">
        <v>8.5</v>
      </c>
      <c r="G6">
        <v>178.5</v>
      </c>
    </row>
    <row r="7" spans="1:7" x14ac:dyDescent="0.25">
      <c r="A7">
        <v>102</v>
      </c>
      <c r="B7">
        <v>1</v>
      </c>
      <c r="C7" t="s">
        <v>20</v>
      </c>
      <c r="D7">
        <v>170</v>
      </c>
      <c r="E7">
        <v>1</v>
      </c>
      <c r="F7">
        <v>8.5</v>
      </c>
      <c r="G7">
        <v>178.5</v>
      </c>
    </row>
    <row r="8" spans="1:7" x14ac:dyDescent="0.25">
      <c r="A8">
        <v>103</v>
      </c>
      <c r="B8">
        <v>1</v>
      </c>
      <c r="C8" t="s">
        <v>26</v>
      </c>
      <c r="D8">
        <v>1200</v>
      </c>
      <c r="E8">
        <v>1</v>
      </c>
      <c r="F8">
        <v>60</v>
      </c>
      <c r="G8">
        <v>1260</v>
      </c>
    </row>
  </sheetData>
  <mergeCells count="1">
    <mergeCell ref="A1:G1"/>
  </mergeCells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0"/>
  <sheetViews>
    <sheetView topLeftCell="A10" workbookViewId="0">
      <selection activeCell="K11" sqref="K11"/>
    </sheetView>
  </sheetViews>
  <sheetFormatPr defaultRowHeight="15" x14ac:dyDescent="0.25"/>
  <cols>
    <col min="1" max="1" width="15" customWidth="1"/>
    <col min="2" max="2" width="13" customWidth="1"/>
    <col min="3" max="3" width="18.85546875" customWidth="1"/>
    <col min="4" max="4" width="15" customWidth="1"/>
    <col min="5" max="5" width="11.28515625" customWidth="1"/>
    <col min="7" max="7" width="14" customWidth="1"/>
  </cols>
  <sheetData>
    <row r="1" spans="1:7" x14ac:dyDescent="0.25">
      <c r="A1" s="25" t="s">
        <v>25</v>
      </c>
      <c r="B1" s="26"/>
      <c r="C1" s="26"/>
      <c r="D1" s="26"/>
      <c r="E1" s="26"/>
    </row>
    <row r="2" spans="1:7" ht="15.75" thickBot="1" x14ac:dyDescent="0.3">
      <c r="A2" s="3" t="s">
        <v>1</v>
      </c>
      <c r="B2" s="3" t="s">
        <v>22</v>
      </c>
      <c r="C2" s="3" t="s">
        <v>27</v>
      </c>
      <c r="D2" s="3" t="s">
        <v>23</v>
      </c>
      <c r="E2" s="3" t="s">
        <v>24</v>
      </c>
      <c r="G2" s="7" t="s">
        <v>1</v>
      </c>
    </row>
    <row r="3" spans="1:7" x14ac:dyDescent="0.25">
      <c r="A3">
        <v>101</v>
      </c>
      <c r="B3" t="str">
        <f>IFERROR(VLOOKUP(Table4[[#This Row],[Product Code]],Table2[#All],3),"")</f>
        <v>Mouse</v>
      </c>
      <c r="C3">
        <f>SUMIF(Stock!A3:A5,Table4[[#This Row],[Product Code]],Table2[Quantity])</f>
        <v>20</v>
      </c>
      <c r="D3">
        <f>SUMIF(Table3[Product Code],Table4[[#This Row],[Product Code]],Table3[Quantity])</f>
        <v>1</v>
      </c>
      <c r="E3">
        <f>Table4[[#This Row],[Purchase Quantity]]-Table4[[#This Row],[Sale Quantity]]</f>
        <v>19</v>
      </c>
    </row>
    <row r="4" spans="1:7" x14ac:dyDescent="0.25">
      <c r="A4">
        <v>102</v>
      </c>
      <c r="B4" t="str">
        <f>IFERROR(VLOOKUP(Table4[[#This Row],[Product Code]],Table2[#All],3),"")</f>
        <v>Keyboard</v>
      </c>
      <c r="C4">
        <f>SUMIF(Stock!A4:A6,Table4[[#This Row],[Product Code]],Table2[Quantity])</f>
        <v>20</v>
      </c>
      <c r="D4">
        <f>SUMIF(Table3[Product Code],Table4[[#This Row],[Product Code]],Table3[Quantity])</f>
        <v>3</v>
      </c>
      <c r="E4">
        <f>Table4[[#This Row],[Purchase Quantity]]-Table4[[#This Row],[Sale Quantity]]</f>
        <v>17</v>
      </c>
    </row>
    <row r="5" spans="1:7" x14ac:dyDescent="0.25">
      <c r="A5">
        <v>103</v>
      </c>
      <c r="B5" t="str">
        <f>IFERROR(VLOOKUP(Table4[[#This Row],[Product Code]],Table2[#All],3),"")</f>
        <v>Monitor</v>
      </c>
      <c r="C5">
        <f>SUMIF(Stock!A5:A7,Table4[[#This Row],[Product Code]],Table2[Quantity])</f>
        <v>20</v>
      </c>
      <c r="D5">
        <f>SUMIF(Table3[Product Code],Table4[[#This Row],[Product Code]],Table3[Quantity])</f>
        <v>4</v>
      </c>
      <c r="E5">
        <f>Table4[[#This Row],[Purchase Quantity]]-Table4[[#This Row],[Sale Quantity]]</f>
        <v>16</v>
      </c>
    </row>
    <row r="6" spans="1:7" x14ac:dyDescent="0.25">
      <c r="A6">
        <v>104</v>
      </c>
      <c r="B6" t="str">
        <f>IFERROR(VLOOKUP(Table4[[#This Row],[Product Code]],Table2[#All],3),"")</f>
        <v>TV</v>
      </c>
      <c r="C6">
        <f>SUMIF(Stock!A6:A8,Table4[[#This Row],[Product Code]],Table2[Quantity])</f>
        <v>20</v>
      </c>
      <c r="D6">
        <f>SUMIF(Table3[Product Code],Table4[[#This Row],[Product Code]],Table3[Quantity])</f>
        <v>2</v>
      </c>
      <c r="E6">
        <f>Table4[[#This Row],[Purchase Quantity]]-Table4[[#This Row],[Sale Quantity]]</f>
        <v>18</v>
      </c>
    </row>
    <row r="7" spans="1:7" x14ac:dyDescent="0.25">
      <c r="B7" t="str">
        <f>IFERROR(VLOOKUP(Table4[[#This Row],[Product Code]],Table2[#All],3),"")</f>
        <v/>
      </c>
      <c r="C7">
        <f>SUMIF(Stock!A7:A9,Table4[[#This Row],[Product Code]],Table2[Quantity])</f>
        <v>0</v>
      </c>
      <c r="D7">
        <f>SUMIF(Table3[Product Code],Table4[[#This Row],[Product Code]],Table3[Quantity])</f>
        <v>0</v>
      </c>
      <c r="E7">
        <f>Table4[[#This Row],[Purchase Quantity]]-Table4[[#This Row],[Sale Quantity]]</f>
        <v>0</v>
      </c>
    </row>
    <row r="8" spans="1:7" x14ac:dyDescent="0.25">
      <c r="B8" t="str">
        <f>IFERROR(VLOOKUP(Table4[[#This Row],[Product Code]],Table2[#All],3),"")</f>
        <v/>
      </c>
      <c r="C8">
        <f>SUMIF(Stock!A8:A10,Table4[[#This Row],[Product Code]],Table2[Quantity])</f>
        <v>0</v>
      </c>
      <c r="D8">
        <f>SUMIF(Table3[Product Code],Table4[[#This Row],[Product Code]],Table3[Quantity])</f>
        <v>0</v>
      </c>
      <c r="E8">
        <f>Table4[[#This Row],[Purchase Quantity]]-Table4[[#This Row],[Sale Quantity]]</f>
        <v>0</v>
      </c>
    </row>
    <row r="9" spans="1:7" x14ac:dyDescent="0.25">
      <c r="B9" t="str">
        <f>IFERROR(VLOOKUP(Table4[[#This Row],[Product Code]],Table2[#All],3),"")</f>
        <v/>
      </c>
      <c r="C9">
        <f>SUMIF(Stock!A9:A11,Table4[[#This Row],[Product Code]],Table2[Quantity])</f>
        <v>0</v>
      </c>
      <c r="D9">
        <f>SUMIF(Table3[Product Code],Table4[[#This Row],[Product Code]],Table3[Quantity])</f>
        <v>0</v>
      </c>
      <c r="E9">
        <f>Table4[[#This Row],[Purchase Quantity]]-Table4[[#This Row],[Sale Quantity]]</f>
        <v>0</v>
      </c>
    </row>
    <row r="10" spans="1:7" x14ac:dyDescent="0.25">
      <c r="B10" t="str">
        <f>IFERROR(VLOOKUP(Table4[[#This Row],[Product Code]],Table2[#All],3),"")</f>
        <v/>
      </c>
      <c r="C10">
        <f>SUMIF(Stock!A10:A12,Table4[[#This Row],[Product Code]],Table2[Quantity])</f>
        <v>0</v>
      </c>
      <c r="D10">
        <f>SUMIF(Table3[Product Code],Table4[[#This Row],[Product Code]],Table3[Quantity])</f>
        <v>0</v>
      </c>
      <c r="E10">
        <f>Table4[[#This Row],[Purchase Quantity]]-Table4[[#This Row],[Sale Quantity]]</f>
        <v>0</v>
      </c>
    </row>
    <row r="11" spans="1:7" x14ac:dyDescent="0.25">
      <c r="B11" t="str">
        <f>IFERROR(VLOOKUP(Table4[[#This Row],[Product Code]],Table2[#All],3),"")</f>
        <v/>
      </c>
      <c r="C11">
        <f>SUMIF(Stock!A11:A13,Table4[[#This Row],[Product Code]],Table2[Quantity])</f>
        <v>0</v>
      </c>
      <c r="D11">
        <f>SUMIF(Table3[Product Code],Table4[[#This Row],[Product Code]],Table3[Quantity])</f>
        <v>0</v>
      </c>
      <c r="E11">
        <f>Table4[[#This Row],[Purchase Quantity]]-Table4[[#This Row],[Sale Quantity]]</f>
        <v>0</v>
      </c>
    </row>
    <row r="12" spans="1:7" x14ac:dyDescent="0.25">
      <c r="B12" t="str">
        <f>IFERROR(VLOOKUP(Table4[[#This Row],[Product Code]],Table2[#All],3),"")</f>
        <v/>
      </c>
      <c r="C12">
        <f>SUMIF(Stock!A12:A14,Table4[[#This Row],[Product Code]],Table2[Quantity])</f>
        <v>0</v>
      </c>
      <c r="D12">
        <f>SUMIF(Table3[Product Code],Table4[[#This Row],[Product Code]],Table3[Quantity])</f>
        <v>0</v>
      </c>
      <c r="E12">
        <f>Table4[[#This Row],[Purchase Quantity]]-Table4[[#This Row],[Sale Quantity]]</f>
        <v>0</v>
      </c>
    </row>
    <row r="13" spans="1:7" x14ac:dyDescent="0.25">
      <c r="B13" t="str">
        <f>IFERROR(VLOOKUP(Table4[[#This Row],[Product Code]],Table2[#All],3),"")</f>
        <v/>
      </c>
      <c r="C13">
        <f>SUMIF(Stock!A13:A15,Table4[[#This Row],[Product Code]],Table2[Quantity])</f>
        <v>0</v>
      </c>
      <c r="D13">
        <f>SUMIF(Table3[Product Code],Table4[[#This Row],[Product Code]],Table3[Quantity])</f>
        <v>0</v>
      </c>
      <c r="E13">
        <f>Table4[[#This Row],[Purchase Quantity]]-Table4[[#This Row],[Sale Quantity]]</f>
        <v>0</v>
      </c>
    </row>
    <row r="14" spans="1:7" x14ac:dyDescent="0.25">
      <c r="B14" t="str">
        <f>IFERROR(VLOOKUP(Table4[[#This Row],[Product Code]],Table2[#All],3),"")</f>
        <v/>
      </c>
      <c r="C14">
        <f>SUMIF(Stock!A14:A16,Table4[[#This Row],[Product Code]],Table2[Quantity])</f>
        <v>0</v>
      </c>
      <c r="D14">
        <f>SUMIF(Table3[Product Code],Table4[[#This Row],[Product Code]],Table3[Quantity])</f>
        <v>0</v>
      </c>
      <c r="E14">
        <f>Table4[[#This Row],[Purchase Quantity]]-Table4[[#This Row],[Sale Quantity]]</f>
        <v>0</v>
      </c>
    </row>
    <row r="15" spans="1:7" x14ac:dyDescent="0.25">
      <c r="B15" t="str">
        <f>IFERROR(VLOOKUP(Table4[[#This Row],[Product Code]],Table2[#All],3),"")</f>
        <v/>
      </c>
      <c r="C15">
        <f>SUMIF(Stock!A15:A17,Table4[[#This Row],[Product Code]],Table2[Quantity])</f>
        <v>0</v>
      </c>
      <c r="D15">
        <f>SUMIF(Table3[Product Code],Table4[[#This Row],[Product Code]],Table3[Quantity])</f>
        <v>0</v>
      </c>
      <c r="E15">
        <f>Table4[[#This Row],[Purchase Quantity]]-Table4[[#This Row],[Sale Quantity]]</f>
        <v>0</v>
      </c>
    </row>
    <row r="16" spans="1:7" x14ac:dyDescent="0.25">
      <c r="B16" t="str">
        <f>IFERROR(VLOOKUP(Table4[[#This Row],[Product Code]],Table2[#All],3),"")</f>
        <v/>
      </c>
      <c r="C16">
        <f>SUMIF(Stock!A16:A18,Table4[[#This Row],[Product Code]],Table2[Quantity])</f>
        <v>0</v>
      </c>
      <c r="D16">
        <f>SUMIF(Table3[Product Code],Table4[[#This Row],[Product Code]],Table3[Quantity])</f>
        <v>0</v>
      </c>
      <c r="E16">
        <f>Table4[[#This Row],[Purchase Quantity]]-Table4[[#This Row],[Sale Quantity]]</f>
        <v>0</v>
      </c>
    </row>
    <row r="17" spans="2:5" x14ac:dyDescent="0.25">
      <c r="B17" t="str">
        <f>IFERROR(VLOOKUP(Table4[[#This Row],[Product Code]],Table2[#All],3),"")</f>
        <v/>
      </c>
      <c r="C17">
        <f>SUMIF(Stock!A17:A19,Table4[[#This Row],[Product Code]],Table2[Quantity])</f>
        <v>0</v>
      </c>
      <c r="D17">
        <f>SUMIF(Table3[Product Code],Table4[[#This Row],[Product Code]],Table3[Quantity])</f>
        <v>0</v>
      </c>
      <c r="E17">
        <f>Table4[[#This Row],[Purchase Quantity]]-Table4[[#This Row],[Sale Quantity]]</f>
        <v>0</v>
      </c>
    </row>
    <row r="18" spans="2:5" x14ac:dyDescent="0.25">
      <c r="B18" t="str">
        <f>IFERROR(VLOOKUP(Table4[[#This Row],[Product Code]],Table2[#All],3),"")</f>
        <v/>
      </c>
      <c r="C18">
        <f>SUMIF(Stock!A18:A20,Table4[[#This Row],[Product Code]],Table2[Quantity])</f>
        <v>0</v>
      </c>
      <c r="D18">
        <f>SUMIF(Table3[Product Code],Table4[[#This Row],[Product Code]],Table3[Quantity])</f>
        <v>0</v>
      </c>
      <c r="E18">
        <f>Table4[[#This Row],[Purchase Quantity]]-Table4[[#This Row],[Sale Quantity]]</f>
        <v>0</v>
      </c>
    </row>
    <row r="19" spans="2:5" x14ac:dyDescent="0.25">
      <c r="B19" t="str">
        <f>IFERROR(VLOOKUP(Table4[[#This Row],[Product Code]],Table2[#All],3),"")</f>
        <v/>
      </c>
      <c r="C19">
        <f>SUMIF(Stock!A19:A21,Table4[[#This Row],[Product Code]],Table2[Quantity])</f>
        <v>0</v>
      </c>
      <c r="D19">
        <f>SUMIF(Table3[Product Code],Table4[[#This Row],[Product Code]],Table3[Quantity])</f>
        <v>0</v>
      </c>
      <c r="E19">
        <f>Table4[[#This Row],[Purchase Quantity]]-Table4[[#This Row],[Sale Quantity]]</f>
        <v>0</v>
      </c>
    </row>
    <row r="20" spans="2:5" x14ac:dyDescent="0.25">
      <c r="B20" t="str">
        <f>IFERROR(VLOOKUP(Table4[[#This Row],[Product Code]],Table2[#All],3),"")</f>
        <v/>
      </c>
      <c r="C20">
        <f>SUMIF(Stock!A20:A22,Table4[[#This Row],[Product Code]],Table2[Quantity])</f>
        <v>0</v>
      </c>
      <c r="D20">
        <f>SUMIF(Table3[Product Code],Table4[[#This Row],[Product Code]],Table3[Quantity])</f>
        <v>0</v>
      </c>
      <c r="E20">
        <f>Table4[[#This Row],[Purchase Quantity]]-Table4[[#This Row],[Sale Quantity]]</f>
        <v>0</v>
      </c>
    </row>
    <row r="21" spans="2:5" x14ac:dyDescent="0.25">
      <c r="B21" t="str">
        <f>IFERROR(VLOOKUP(Table4[[#This Row],[Product Code]],Table2[#All],3),"")</f>
        <v/>
      </c>
      <c r="C21">
        <f>SUMIF(Stock!A21:A23,Table4[[#This Row],[Product Code]],Table2[Quantity])</f>
        <v>0</v>
      </c>
      <c r="D21">
        <f>SUMIF(Table3[Product Code],Table4[[#This Row],[Product Code]],Table3[Quantity])</f>
        <v>0</v>
      </c>
      <c r="E21">
        <f>Table4[[#This Row],[Purchase Quantity]]-Table4[[#This Row],[Sale Quantity]]</f>
        <v>0</v>
      </c>
    </row>
    <row r="22" spans="2:5" x14ac:dyDescent="0.25">
      <c r="B22" t="str">
        <f>IFERROR(VLOOKUP(Table4[[#This Row],[Product Code]],Table2[#All],3),"")</f>
        <v/>
      </c>
      <c r="C22">
        <f>SUMIF(Stock!A22:A24,Table4[[#This Row],[Product Code]],Table2[Quantity])</f>
        <v>0</v>
      </c>
      <c r="D22">
        <f>SUMIF(Table3[Product Code],Table4[[#This Row],[Product Code]],Table3[Quantity])</f>
        <v>0</v>
      </c>
      <c r="E22">
        <f>Table4[[#This Row],[Purchase Quantity]]-Table4[[#This Row],[Sale Quantity]]</f>
        <v>0</v>
      </c>
    </row>
    <row r="23" spans="2:5" x14ac:dyDescent="0.25">
      <c r="B23" t="str">
        <f>IFERROR(VLOOKUP(Table4[[#This Row],[Product Code]],Table2[#All],3),"")</f>
        <v/>
      </c>
      <c r="C23">
        <f>SUMIF(Stock!A23:A25,Table4[[#This Row],[Product Code]],Table2[Quantity])</f>
        <v>0</v>
      </c>
      <c r="D23">
        <f>SUMIF(Table3[Product Code],Table4[[#This Row],[Product Code]],Table3[Quantity])</f>
        <v>0</v>
      </c>
      <c r="E23">
        <f>Table4[[#This Row],[Purchase Quantity]]-Table4[[#This Row],[Sale Quantity]]</f>
        <v>0</v>
      </c>
    </row>
    <row r="24" spans="2:5" x14ac:dyDescent="0.25">
      <c r="B24" t="str">
        <f>IFERROR(VLOOKUP(Table4[[#This Row],[Product Code]],Table2[#All],3),"")</f>
        <v/>
      </c>
      <c r="C24">
        <f>SUMIF(Stock!A24:A26,Table4[[#This Row],[Product Code]],Table2[Quantity])</f>
        <v>0</v>
      </c>
      <c r="D24">
        <f>SUMIF(Table3[Product Code],Table4[[#This Row],[Product Code]],Table3[Quantity])</f>
        <v>0</v>
      </c>
      <c r="E24">
        <f>Table4[[#This Row],[Purchase Quantity]]-Table4[[#This Row],[Sale Quantity]]</f>
        <v>0</v>
      </c>
    </row>
    <row r="25" spans="2:5" x14ac:dyDescent="0.25">
      <c r="B25" t="str">
        <f>IFERROR(VLOOKUP(Table4[[#This Row],[Product Code]],Table2[#All],3),"")</f>
        <v/>
      </c>
      <c r="C25">
        <f>SUMIF(Stock!A25:A27,Table4[[#This Row],[Product Code]],Table2[Quantity])</f>
        <v>0</v>
      </c>
      <c r="D25">
        <f>SUMIF(Table3[Product Code],Table4[[#This Row],[Product Code]],Table3[Quantity])</f>
        <v>0</v>
      </c>
      <c r="E25">
        <f>Table4[[#This Row],[Purchase Quantity]]-Table4[[#This Row],[Sale Quantity]]</f>
        <v>0</v>
      </c>
    </row>
    <row r="26" spans="2:5" x14ac:dyDescent="0.25">
      <c r="B26" t="str">
        <f>IFERROR(VLOOKUP(Table4[[#This Row],[Product Code]],Table2[#All],3),"")</f>
        <v/>
      </c>
      <c r="C26">
        <f>SUMIF(Stock!A26:A28,Table4[[#This Row],[Product Code]],Table2[Quantity])</f>
        <v>0</v>
      </c>
      <c r="D26">
        <f>SUMIF(Table3[Product Code],Table4[[#This Row],[Product Code]],Table3[Quantity])</f>
        <v>0</v>
      </c>
      <c r="E26">
        <f>Table4[[#This Row],[Purchase Quantity]]-Table4[[#This Row],[Sale Quantity]]</f>
        <v>0</v>
      </c>
    </row>
    <row r="27" spans="2:5" x14ac:dyDescent="0.25">
      <c r="B27" t="str">
        <f>IFERROR(VLOOKUP(Table4[[#This Row],[Product Code]],Table2[#All],3),"")</f>
        <v/>
      </c>
      <c r="C27">
        <f>SUMIF(Stock!A27:A29,Table4[[#This Row],[Product Code]],Table2[Quantity])</f>
        <v>0</v>
      </c>
      <c r="D27">
        <f>SUMIF(Table3[Product Code],Table4[[#This Row],[Product Code]],Table3[Quantity])</f>
        <v>0</v>
      </c>
      <c r="E27">
        <f>Table4[[#This Row],[Purchase Quantity]]-Table4[[#This Row],[Sale Quantity]]</f>
        <v>0</v>
      </c>
    </row>
    <row r="28" spans="2:5" x14ac:dyDescent="0.25">
      <c r="B28" t="str">
        <f>IFERROR(VLOOKUP(Table4[[#This Row],[Product Code]],Table2[#All],3),"")</f>
        <v/>
      </c>
      <c r="C28">
        <f>SUMIF(Stock!A28:A30,Table4[[#This Row],[Product Code]],Table2[Quantity])</f>
        <v>0</v>
      </c>
      <c r="D28">
        <f>SUMIF(Table3[Product Code],Table4[[#This Row],[Product Code]],Table3[Quantity])</f>
        <v>0</v>
      </c>
      <c r="E28">
        <f>Table4[[#This Row],[Purchase Quantity]]-Table4[[#This Row],[Sale Quantity]]</f>
        <v>0</v>
      </c>
    </row>
    <row r="29" spans="2:5" x14ac:dyDescent="0.25">
      <c r="B29" t="str">
        <f>IFERROR(VLOOKUP(Table4[[#This Row],[Product Code]],Table2[#All],3),"")</f>
        <v/>
      </c>
      <c r="C29">
        <f>SUMIF(Stock!A29:A31,Table4[[#This Row],[Product Code]],Table2[Quantity])</f>
        <v>0</v>
      </c>
      <c r="D29">
        <f>SUMIF(Table3[Product Code],Table4[[#This Row],[Product Code]],Table3[Quantity])</f>
        <v>0</v>
      </c>
      <c r="E29">
        <f>Table4[[#This Row],[Purchase Quantity]]-Table4[[#This Row],[Sale Quantity]]</f>
        <v>0</v>
      </c>
    </row>
    <row r="30" spans="2:5" x14ac:dyDescent="0.25">
      <c r="B30" t="str">
        <f>IFERROR(VLOOKUP(Table4[[#This Row],[Product Code]],Table2[#All],3),"")</f>
        <v/>
      </c>
      <c r="C30">
        <f>SUMIF(Stock!A30:A32,Table4[[#This Row],[Product Code]],Table2[Quantity])</f>
        <v>0</v>
      </c>
      <c r="D30">
        <f>SUMIF(Table3[Product Code],Table4[[#This Row],[Product Code]],Table3[Quantity])</f>
        <v>0</v>
      </c>
      <c r="E30">
        <f>Table4[[#This Row],[Purchase Quantity]]-Table4[[#This Row],[Sale Quantity]]</f>
        <v>0</v>
      </c>
    </row>
  </sheetData>
  <mergeCells count="1">
    <mergeCell ref="A1:E1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:B9"/>
  <sheetViews>
    <sheetView workbookViewId="0">
      <selection activeCell="H35" sqref="H35"/>
    </sheetView>
  </sheetViews>
  <sheetFormatPr defaultRowHeight="15" x14ac:dyDescent="0.25"/>
  <sheetData>
    <row r="4" spans="2:2" x14ac:dyDescent="0.25">
      <c r="B4" t="s">
        <v>28</v>
      </c>
    </row>
    <row r="5" spans="2:2" x14ac:dyDescent="0.25">
      <c r="B5" t="s">
        <v>28</v>
      </c>
    </row>
    <row r="6" spans="2:2" x14ac:dyDescent="0.25">
      <c r="B6" t="s">
        <v>28</v>
      </c>
    </row>
    <row r="7" spans="2:2" x14ac:dyDescent="0.25">
      <c r="B7" t="s">
        <v>28</v>
      </c>
    </row>
    <row r="8" spans="2:2" x14ac:dyDescent="0.25">
      <c r="B8" t="s">
        <v>28</v>
      </c>
    </row>
    <row r="9" spans="2:2" x14ac:dyDescent="0.25">
      <c r="B9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Invoice</vt:lpstr>
      <vt:lpstr>Purchase</vt:lpstr>
      <vt:lpstr>Sale</vt:lpstr>
      <vt:lpstr>Stock</vt:lpstr>
      <vt:lpstr>Dummy</vt:lpstr>
      <vt:lpstr>Stock!Criteria</vt:lpstr>
      <vt:lpstr>Stock!Extract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2022-08-17T12:54:58Z</cp:lastPrinted>
  <dcterms:created xsi:type="dcterms:W3CDTF">2022-08-17T10:06:01Z</dcterms:created>
  <dcterms:modified xsi:type="dcterms:W3CDTF">2022-08-17T13:04:25Z</dcterms:modified>
</cp:coreProperties>
</file>